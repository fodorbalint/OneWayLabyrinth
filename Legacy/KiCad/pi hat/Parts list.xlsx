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<sst xmlns="http://schemas.openxmlformats.org/spreadsheetml/2006/main" count="114" uniqueCount="94">
  <si>
    <t xml:space="preserve">Comment</t>
  </si>
  <si>
    <t xml:space="preserve">Designator</t>
  </si>
  <si>
    <t xml:space="preserve">Footprint</t>
  </si>
  <si>
    <t xml:space="preserve">JLCPCB Part #</t>
  </si>
  <si>
    <t xml:space="preserve">NCE20P70G</t>
  </si>
  <si>
    <t xml:space="preserve">Q1</t>
  </si>
  <si>
    <t xml:space="preserve">Infineon_PG-TDSON-8_6.15x5.15mm</t>
  </si>
  <si>
    <t xml:space="preserve">C193355</t>
  </si>
  <si>
    <t xml:space="preserve">extended</t>
  </si>
  <si>
    <t xml:space="preserve">2N7002</t>
  </si>
  <si>
    <t xml:space="preserve">Q2, Q3</t>
  </si>
  <si>
    <t xml:space="preserve">SOT-23_Handsoldering</t>
  </si>
  <si>
    <t xml:space="preserve">C8545</t>
  </si>
  <si>
    <t xml:space="preserve">basic</t>
  </si>
  <si>
    <t xml:space="preserve">MCP6022T-I/SN</t>
  </si>
  <si>
    <t xml:space="preserve">U3</t>
  </si>
  <si>
    <t xml:space="preserve">SOIC-8_3.9x4.9mm_P1.27mm</t>
  </si>
  <si>
    <t xml:space="preserve">C57639</t>
  </si>
  <si>
    <t xml:space="preserve">AQY211EHAX</t>
  </si>
  <si>
    <t xml:space="preserve">U4, U5</t>
  </si>
  <si>
    <t xml:space="preserve">SMD-4P</t>
  </si>
  <si>
    <t xml:space="preserve">C129282</t>
  </si>
  <si>
    <t xml:space="preserve">TPS7A0233DBVR</t>
  </si>
  <si>
    <t xml:space="preserve">U6</t>
  </si>
  <si>
    <t xml:space="preserve">SOT-23-5_HandSoldering</t>
  </si>
  <si>
    <t xml:space="preserve">C5142805</t>
  </si>
  <si>
    <t xml:space="preserve">PCF8563T/5,518 </t>
  </si>
  <si>
    <t xml:space="preserve">U7</t>
  </si>
  <si>
    <t xml:space="preserve">C7440 </t>
  </si>
  <si>
    <t xml:space="preserve">Q13FC13500004</t>
  </si>
  <si>
    <t xml:space="preserve">Y1</t>
  </si>
  <si>
    <t xml:space="preserve">Crystal_SMD_3215-2Pin_3.2x1.5mm</t>
  </si>
  <si>
    <t xml:space="preserve">C32346</t>
  </si>
  <si>
    <t xml:space="preserve">1N4148W</t>
  </si>
  <si>
    <t xml:space="preserve">D1, D2, D3</t>
  </si>
  <si>
    <t xml:space="preserve">Diode_SMD:D_SOD-123F</t>
  </si>
  <si>
    <t xml:space="preserve">C81598</t>
  </si>
  <si>
    <t xml:space="preserve">100K</t>
  </si>
  <si>
    <t xml:space="preserve">R2, R12</t>
  </si>
  <si>
    <t xml:space="preserve">R_1206_3216Metric_Pad1.30x1.75mm_HandSolder</t>
  </si>
  <si>
    <t xml:space="preserve">C17900</t>
  </si>
  <si>
    <t xml:space="preserve">1206W4F1003T5E</t>
  </si>
  <si>
    <t xml:space="preserve">R3</t>
  </si>
  <si>
    <t xml:space="preserve">C17924</t>
  </si>
  <si>
    <t xml:space="preserve">1206W4F1800T5E</t>
  </si>
  <si>
    <t xml:space="preserve">10K</t>
  </si>
  <si>
    <t xml:space="preserve">R4, R14</t>
  </si>
  <si>
    <t xml:space="preserve">C17902</t>
  </si>
  <si>
    <t xml:space="preserve">1206W4F1002T5E</t>
  </si>
  <si>
    <t xml:space="preserve">R11</t>
  </si>
  <si>
    <t xml:space="preserve">C17901</t>
  </si>
  <si>
    <t xml:space="preserve">1206W4F1000T5E</t>
  </si>
  <si>
    <t xml:space="preserve">56K</t>
  </si>
  <si>
    <t xml:space="preserve">R5</t>
  </si>
  <si>
    <t xml:space="preserve">R_0805_2012Metric_Pad1.20x1.40mm_HandSolder</t>
  </si>
  <si>
    <t xml:space="preserve">C17756</t>
  </si>
  <si>
    <t xml:space="preserve">0805W8F5602T5E</t>
  </si>
  <si>
    <t xml:space="preserve">300K</t>
  </si>
  <si>
    <t xml:space="preserve">R6</t>
  </si>
  <si>
    <t xml:space="preserve">C17616</t>
  </si>
  <si>
    <t xml:space="preserve">0805W8F3003T5E</t>
  </si>
  <si>
    <t xml:space="preserve">R7</t>
  </si>
  <si>
    <t xml:space="preserve">C17903</t>
  </si>
  <si>
    <t xml:space="preserve">1206W4F100JT5E</t>
  </si>
  <si>
    <t xml:space="preserve">1K</t>
  </si>
  <si>
    <t xml:space="preserve">R8, R9, R13</t>
  </si>
  <si>
    <t xml:space="preserve">C4410</t>
  </si>
  <si>
    <t xml:space="preserve">1206W4F1001T5E</t>
  </si>
  <si>
    <t xml:space="preserve">20K</t>
  </si>
  <si>
    <t xml:space="preserve">R10</t>
  </si>
  <si>
    <t xml:space="preserve">C4328</t>
  </si>
  <si>
    <t xml:space="preserve">0805W8F2002T5E</t>
  </si>
  <si>
    <t xml:space="preserve">10uF</t>
  </si>
  <si>
    <t xml:space="preserve">C3, C5</t>
  </si>
  <si>
    <t xml:space="preserve">C_1206_3216Metric_Pad1.33x1.80mm_HandSolder</t>
  </si>
  <si>
    <t xml:space="preserve">C13585</t>
  </si>
  <si>
    <t xml:space="preserve">CL31A106KBHNNNE</t>
  </si>
  <si>
    <t xml:space="preserve">47uF</t>
  </si>
  <si>
    <t xml:space="preserve">C4</t>
  </si>
  <si>
    <t xml:space="preserve">C96123</t>
  </si>
  <si>
    <t xml:space="preserve">CL31A476MPHNNNE</t>
  </si>
  <si>
    <t xml:space="preserve">100nF</t>
  </si>
  <si>
    <t xml:space="preserve">C6</t>
  </si>
  <si>
    <t xml:space="preserve">C24497</t>
  </si>
  <si>
    <t xml:space="preserve">CL31B104KBCNNNC</t>
  </si>
  <si>
    <t xml:space="preserve">25pF</t>
  </si>
  <si>
    <t xml:space="preserve">C7</t>
  </si>
  <si>
    <t xml:space="preserve">C1898</t>
  </si>
  <si>
    <t xml:space="preserve">1206CG250J500NT</t>
  </si>
  <si>
    <t xml:space="preserve">Component count</t>
  </si>
  <si>
    <t xml:space="preserve">1pF</t>
  </si>
  <si>
    <t xml:space="preserve">C8</t>
  </si>
  <si>
    <t xml:space="preserve">C1891</t>
  </si>
  <si>
    <t xml:space="preserve">1206CG1R0C500NT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</si>
</sst>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4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1796875" defaultRowHeight="18" zeroHeight="false" outlineLevelRow="0" outlineLevelCol="0"/>
  <cols>
    <col collapsed="false" customWidth="true" hidden="false" outlineLevel="0" max="1" min="1" style="1" width="20.29"/>
    <col collapsed="false" customWidth="true" hidden="false" outlineLevel="0" max="2" min="2" style="2" width="21.63"/>
    <col collapsed="false" customWidth="true" hidden="false" outlineLevel="0" max="3" min="3" style="1" width="48.09"/>
    <col collapsed="false" customWidth="true" hidden="false" outlineLevel="0" max="4" min="4" style="2" width="14.73"/>
    <col collapsed="false" customWidth="false" hidden="false" outlineLevel="0" max="9" min="9" style="3" width="8.18"/>
  </cols>
  <sheetData>
    <row r="1" customFormat="false" ht="18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</row>
    <row r="2" customFormat="false" ht="17.35" hidden="false" customHeight="false" outlineLevel="0" collapsed="false">
      <c r="A2" s="1" t="s">
        <v>4</v>
      </c>
      <c r="B2" s="2" t="s">
        <v>5</v>
      </c>
      <c r="C2" s="1" t="s">
        <v>6</v>
      </c>
      <c r="D2" s="2" t="s">
        <v>7</v>
      </c>
      <c r="E2" s="2"/>
      <c r="G2" s="2" t="s">
        <v>8</v>
      </c>
    </row>
    <row r="3" customFormat="false" ht="17.35" hidden="false" customHeight="false" outlineLevel="0" collapsed="false">
      <c r="A3" s="1" t="s">
        <v>9</v>
      </c>
      <c r="B3" s="2" t="s">
        <v>10</v>
      </c>
      <c r="C3" s="1" t="s">
        <v>11</v>
      </c>
      <c r="D3" s="2" t="s">
        <v>12</v>
      </c>
      <c r="E3" s="2"/>
      <c r="G3" s="2" t="s">
        <v>13</v>
      </c>
    </row>
    <row r="4" customFormat="false" ht="17.35" hidden="false" customHeight="false" outlineLevel="0" collapsed="false">
      <c r="A4" s="1" t="s">
        <v>14</v>
      </c>
      <c r="B4" s="2" t="s">
        <v>15</v>
      </c>
      <c r="C4" s="1" t="s">
        <v>16</v>
      </c>
      <c r="D4" s="2" t="s">
        <v>17</v>
      </c>
      <c r="E4" s="2"/>
      <c r="G4" s="2" t="s">
        <v>8</v>
      </c>
    </row>
    <row r="5" customFormat="false" ht="17.35" hidden="false" customHeight="false" outlineLevel="0" collapsed="false">
      <c r="A5" s="1" t="s">
        <v>18</v>
      </c>
      <c r="B5" s="2" t="s">
        <v>19</v>
      </c>
      <c r="C5" s="1" t="s">
        <v>20</v>
      </c>
      <c r="D5" s="2" t="s">
        <v>21</v>
      </c>
      <c r="E5" s="2"/>
      <c r="G5" s="2" t="s">
        <v>8</v>
      </c>
    </row>
    <row r="6" customFormat="false" ht="17.35" hidden="false" customHeight="false" outlineLevel="0" collapsed="false">
      <c r="A6" s="1" t="s">
        <v>22</v>
      </c>
      <c r="B6" s="2" t="s">
        <v>23</v>
      </c>
      <c r="C6" s="1" t="s">
        <v>24</v>
      </c>
      <c r="D6" s="2" t="s">
        <v>25</v>
      </c>
      <c r="E6" s="2"/>
      <c r="G6" s="2" t="s">
        <v>8</v>
      </c>
    </row>
    <row r="7" customFormat="false" ht="17.35" hidden="false" customHeight="false" outlineLevel="0" collapsed="false">
      <c r="A7" s="4" t="s">
        <v>26</v>
      </c>
      <c r="B7" s="2" t="s">
        <v>27</v>
      </c>
      <c r="C7" s="1" t="s">
        <v>16</v>
      </c>
      <c r="D7" s="4" t="s">
        <v>28</v>
      </c>
      <c r="E7" s="2"/>
      <c r="G7" s="2" t="s">
        <v>13</v>
      </c>
    </row>
    <row r="8" customFormat="false" ht="17.35" hidden="false" customHeight="false" outlineLevel="0" collapsed="false">
      <c r="A8" s="1" t="s">
        <v>29</v>
      </c>
      <c r="B8" s="2" t="s">
        <v>30</v>
      </c>
      <c r="C8" s="1" t="s">
        <v>31</v>
      </c>
      <c r="D8" s="2" t="s">
        <v>32</v>
      </c>
      <c r="E8" s="2"/>
      <c r="G8" s="2" t="s">
        <v>13</v>
      </c>
    </row>
    <row r="9" customFormat="false" ht="17.35" hidden="false" customHeight="false" outlineLevel="0" collapsed="false">
      <c r="A9" s="1" t="s">
        <v>33</v>
      </c>
      <c r="B9" s="2" t="s">
        <v>34</v>
      </c>
      <c r="C9" s="1" t="s">
        <v>35</v>
      </c>
      <c r="D9" s="2" t="s">
        <v>36</v>
      </c>
      <c r="E9" s="2"/>
      <c r="G9" s="2" t="s">
        <v>13</v>
      </c>
    </row>
    <row r="10" customFormat="false" ht="18" hidden="false" customHeight="false" outlineLevel="0" collapsed="false">
      <c r="A10" s="1" t="s">
        <v>37</v>
      </c>
      <c r="B10" s="2" t="s">
        <v>38</v>
      </c>
      <c r="C10" s="1" t="s">
        <v>39</v>
      </c>
      <c r="D10" s="2" t="s">
        <v>40</v>
      </c>
      <c r="E10" s="2" t="s">
        <v>41</v>
      </c>
    </row>
    <row r="11" customFormat="false" ht="18" hidden="false" customHeight="false" outlineLevel="0" collapsed="false">
      <c r="A11" s="1" t="n">
        <v>180</v>
      </c>
      <c r="B11" s="2" t="s">
        <v>42</v>
      </c>
      <c r="C11" s="1" t="s">
        <v>39</v>
      </c>
      <c r="D11" s="2" t="s">
        <v>43</v>
      </c>
      <c r="E11" s="2" t="s">
        <v>44</v>
      </c>
    </row>
    <row r="12" customFormat="false" ht="17.35" hidden="false" customHeight="false" outlineLevel="0" collapsed="false">
      <c r="A12" s="1" t="s">
        <v>45</v>
      </c>
      <c r="B12" s="2" t="s">
        <v>46</v>
      </c>
      <c r="C12" s="1" t="s">
        <v>39</v>
      </c>
      <c r="D12" s="2" t="s">
        <v>47</v>
      </c>
      <c r="E12" s="2" t="s">
        <v>48</v>
      </c>
    </row>
    <row r="13" customFormat="false" ht="18" hidden="false" customHeight="false" outlineLevel="0" collapsed="false">
      <c r="A13" s="1" t="n">
        <v>100</v>
      </c>
      <c r="B13" s="2" t="s">
        <v>49</v>
      </c>
      <c r="C13" s="1" t="s">
        <v>39</v>
      </c>
      <c r="D13" s="2" t="s">
        <v>50</v>
      </c>
      <c r="E13" s="2" t="s">
        <v>51</v>
      </c>
    </row>
    <row r="14" customFormat="false" ht="18" hidden="false" customHeight="false" outlineLevel="0" collapsed="false">
      <c r="A14" s="1" t="s">
        <v>52</v>
      </c>
      <c r="B14" s="2" t="s">
        <v>53</v>
      </c>
      <c r="C14" s="1" t="s">
        <v>54</v>
      </c>
      <c r="D14" s="2" t="s">
        <v>55</v>
      </c>
      <c r="E14" s="2" t="s">
        <v>56</v>
      </c>
    </row>
    <row r="15" customFormat="false" ht="18" hidden="false" customHeight="false" outlineLevel="0" collapsed="false">
      <c r="A15" s="1" t="s">
        <v>57</v>
      </c>
      <c r="B15" s="2" t="s">
        <v>58</v>
      </c>
      <c r="C15" s="1" t="s">
        <v>54</v>
      </c>
      <c r="D15" s="2" t="s">
        <v>59</v>
      </c>
      <c r="E15" s="2" t="s">
        <v>60</v>
      </c>
    </row>
    <row r="16" customFormat="false" ht="18" hidden="false" customHeight="false" outlineLevel="0" collapsed="false">
      <c r="A16" s="1" t="n">
        <v>10</v>
      </c>
      <c r="B16" s="2" t="s">
        <v>61</v>
      </c>
      <c r="C16" s="1" t="s">
        <v>39</v>
      </c>
      <c r="D16" s="2" t="s">
        <v>62</v>
      </c>
      <c r="E16" s="2" t="s">
        <v>63</v>
      </c>
    </row>
    <row r="17" customFormat="false" ht="18" hidden="false" customHeight="false" outlineLevel="0" collapsed="false">
      <c r="A17" s="1" t="s">
        <v>64</v>
      </c>
      <c r="B17" s="2" t="s">
        <v>65</v>
      </c>
      <c r="C17" s="1" t="s">
        <v>39</v>
      </c>
      <c r="D17" s="2" t="s">
        <v>66</v>
      </c>
      <c r="E17" s="2" t="s">
        <v>67</v>
      </c>
    </row>
    <row r="18" customFormat="false" ht="18" hidden="false" customHeight="false" outlineLevel="0" collapsed="false">
      <c r="A18" s="1" t="s">
        <v>68</v>
      </c>
      <c r="B18" s="2" t="s">
        <v>69</v>
      </c>
      <c r="C18" s="1" t="s">
        <v>54</v>
      </c>
      <c r="D18" s="2" t="s">
        <v>70</v>
      </c>
      <c r="E18" s="2" t="s">
        <v>71</v>
      </c>
    </row>
    <row r="19" customFormat="false" ht="18" hidden="false" customHeight="false" outlineLevel="0" collapsed="false">
      <c r="A19" s="1" t="s">
        <v>72</v>
      </c>
      <c r="B19" s="2" t="s">
        <v>73</v>
      </c>
      <c r="C19" s="1" t="s">
        <v>74</v>
      </c>
      <c r="D19" s="2" t="s">
        <v>75</v>
      </c>
      <c r="E19" s="2" t="s">
        <v>76</v>
      </c>
    </row>
    <row r="20" customFormat="false" ht="17.35" hidden="false" customHeight="false" outlineLevel="0" collapsed="false">
      <c r="A20" s="1" t="s">
        <v>77</v>
      </c>
      <c r="B20" s="2" t="s">
        <v>78</v>
      </c>
      <c r="C20" s="1" t="s">
        <v>74</v>
      </c>
      <c r="D20" s="2" t="s">
        <v>79</v>
      </c>
      <c r="E20" s="2" t="s">
        <v>80</v>
      </c>
    </row>
    <row r="21" customFormat="false" ht="18" hidden="false" customHeight="false" outlineLevel="0" collapsed="false">
      <c r="A21" s="1" t="s">
        <v>81</v>
      </c>
      <c r="B21" s="2" t="s">
        <v>82</v>
      </c>
      <c r="C21" s="1" t="s">
        <v>74</v>
      </c>
      <c r="D21" s="2" t="s">
        <v>83</v>
      </c>
      <c r="E21" s="2" t="s">
        <v>84</v>
      </c>
      <c r="H21" s="2"/>
    </row>
    <row r="22" customFormat="false" ht="17.35" hidden="false" customHeight="false" outlineLevel="0" collapsed="false">
      <c r="A22" s="1" t="s">
        <v>85</v>
      </c>
      <c r="B22" s="2" t="s">
        <v>86</v>
      </c>
      <c r="C22" s="1" t="s">
        <v>74</v>
      </c>
      <c r="D22" s="2" t="s">
        <v>87</v>
      </c>
      <c r="E22" s="2" t="s">
        <v>88</v>
      </c>
      <c r="F22" s="2"/>
      <c r="G22" s="2" t="s">
        <v>8</v>
      </c>
      <c r="H22" s="2" t="s">
        <v>89</v>
      </c>
    </row>
    <row r="23" customFormat="false" ht="17.35" hidden="false" customHeight="false" outlineLevel="0" collapsed="false">
      <c r="A23" s="1" t="s">
        <v>90</v>
      </c>
      <c r="B23" s="2" t="s">
        <v>91</v>
      </c>
      <c r="C23" s="1" t="s">
        <v>74</v>
      </c>
      <c r="D23" s="2" t="s">
        <v>92</v>
      </c>
      <c r="E23" s="0" t="s">
        <v>93</v>
      </c>
      <c r="G23" s="2" t="s">
        <v>8</v>
      </c>
      <c r="H23" s="2" t="n">
        <f aca="false">SUMPRODUCT(LEN(B$2:B$1048576) - LEN(SUBSTITUTE(B$2:B$1048576, ",", "")) + (B$2:B$1048576 &lt;&gt; ""))</f>
        <v>31</v>
      </c>
    </row>
    <row r="24" customFormat="false" ht="17.35" hidden="false" customHeight="false" outlineLevel="0" collapsed="false">
      <c r="E24" s="2"/>
    </row>
    <row r="25" customFormat="false" ht="17.35" hidden="false" customHeight="false" outlineLevel="0" collapsed="false">
      <c r="E25" s="2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8508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2025-10-28T12:47:02Z</dcterms:created>
  <dc:creator/>
  <dc:description/>
  <dc:language>da-DK</dc:language>
  <cp:lastModifiedBy/>
  <dcterms:modified xsi:type="dcterms:W3CDTF">2026-01-30T22:15:53Z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